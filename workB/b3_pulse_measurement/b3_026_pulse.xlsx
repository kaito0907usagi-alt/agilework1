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osugakaito/program/2025/agilework/agilework1/workB/b3_pulse_measurement/"/>
    </mc:Choice>
  </mc:AlternateContent>
  <xr:revisionPtr revIDLastSave="0" documentId="8_{FDE9FE6D-5FDA-EC43-95FA-A6EE6515CA6C}" xr6:coauthVersionLast="47" xr6:coauthVersionMax="47" xr10:uidLastSave="{00000000-0000-0000-0000-000000000000}"/>
  <bookViews>
    <workbookView xWindow="540" yWindow="760" windowWidth="28300" windowHeight="16520" xr2:uid="{5CB2450E-BD85-384B-95A7-7D4A4159BED6}"/>
  </bookViews>
  <sheets>
    <sheet name="b3_026_pul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H4" i="1"/>
  <c r="G4" i="1"/>
  <c r="F4" i="1"/>
  <c r="E4" i="1"/>
</calcChain>
</file>

<file path=xl/sharedStrings.xml><?xml version="1.0" encoding="utf-8"?>
<sst xmlns="http://schemas.openxmlformats.org/spreadsheetml/2006/main" count="7" uniqueCount="7">
  <si>
    <t>time</t>
  </si>
  <si>
    <t>pulse</t>
  </si>
  <si>
    <t>最大値</t>
    <rPh sb="0" eb="3">
      <t xml:space="preserve">サイダイチ </t>
    </rPh>
    <phoneticPr fontId="18"/>
  </si>
  <si>
    <t>最小値</t>
    <rPh sb="0" eb="3">
      <t xml:space="preserve">サイショウチ </t>
    </rPh>
    <phoneticPr fontId="18"/>
  </si>
  <si>
    <t>平均値</t>
    <rPh sb="0" eb="3">
      <t>ヘイキ</t>
    </rPh>
    <phoneticPr fontId="18"/>
  </si>
  <si>
    <t>中央値</t>
    <rPh sb="0" eb="3">
      <t xml:space="preserve">チュウオウチ </t>
    </rPh>
    <phoneticPr fontId="18"/>
  </si>
  <si>
    <t>標準偏差</t>
    <rPh sb="0" eb="4">
      <t>ヒョウジュ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</si>
</sst>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7D332-CEFA-634C-881D-893D974CB74F}">
  <dimension ref="A1:I34"/>
  <sheetViews>
    <sheetView tabSelected="1" workbookViewId="0">
      <selection activeCell="I8" sqref="I8"/>
    </sheetView>
  </sheetViews>
  <sheetFormatPr baseColWidth="10" defaultRowHeight="20"/>
  <sheetData>
    <row r="1" spans="1:9">
      <c r="A1" t="s">
        <v>0</v>
      </c>
      <c r="B1" t="s">
        <v>1</v>
      </c>
    </row>
    <row r="2" spans="1:9">
      <c r="A2">
        <v>0</v>
      </c>
      <c r="B2">
        <v>69</v>
      </c>
    </row>
    <row r="3" spans="1:9">
      <c r="A3">
        <v>1.72</v>
      </c>
      <c r="B3">
        <v>65</v>
      </c>
      <c r="E3" t="s">
        <v>2</v>
      </c>
      <c r="F3" t="s">
        <v>3</v>
      </c>
      <c r="G3" t="s">
        <v>4</v>
      </c>
      <c r="H3" t="s">
        <v>5</v>
      </c>
      <c r="I3" t="s">
        <v>6</v>
      </c>
    </row>
    <row r="4" spans="1:9">
      <c r="A4">
        <v>3.6</v>
      </c>
      <c r="B4">
        <v>60</v>
      </c>
      <c r="E4">
        <f>MAX(B2:B34)</f>
        <v>69</v>
      </c>
      <c r="F4">
        <f>MIN(B2:B34)</f>
        <v>60</v>
      </c>
      <c r="G4">
        <f>AVERAGE(B2:B34)</f>
        <v>64.36363636363636</v>
      </c>
      <c r="H4">
        <f>MEDIAN(B2:B34)</f>
        <v>65</v>
      </c>
      <c r="I4">
        <f>_xlfn.STDEV.S(B2:B34)</f>
        <v>2.7930514430701705</v>
      </c>
    </row>
    <row r="5" spans="1:9">
      <c r="A5">
        <v>5.52</v>
      </c>
      <c r="B5">
        <v>65</v>
      </c>
    </row>
    <row r="6" spans="1:9">
      <c r="A6">
        <v>7.4</v>
      </c>
      <c r="B6">
        <v>63</v>
      </c>
    </row>
    <row r="7" spans="1:9">
      <c r="A7">
        <v>9.1999999999999993</v>
      </c>
      <c r="B7">
        <v>65</v>
      </c>
    </row>
    <row r="8" spans="1:9">
      <c r="A8">
        <v>11.1</v>
      </c>
      <c r="B8">
        <v>61</v>
      </c>
    </row>
    <row r="9" spans="1:9">
      <c r="A9">
        <v>12.98</v>
      </c>
      <c r="B9">
        <v>69</v>
      </c>
    </row>
    <row r="10" spans="1:9">
      <c r="A10">
        <v>14.76</v>
      </c>
      <c r="B10">
        <v>63</v>
      </c>
    </row>
    <row r="11" spans="1:9">
      <c r="A11">
        <v>16.559999999999999</v>
      </c>
      <c r="B11">
        <v>66</v>
      </c>
    </row>
    <row r="12" spans="1:9">
      <c r="A12">
        <v>18.420000000000002</v>
      </c>
      <c r="B12">
        <v>61</v>
      </c>
    </row>
    <row r="13" spans="1:9">
      <c r="A13">
        <v>20.34</v>
      </c>
      <c r="B13">
        <v>66</v>
      </c>
    </row>
    <row r="14" spans="1:9">
      <c r="A14">
        <v>22.18</v>
      </c>
      <c r="B14">
        <v>62</v>
      </c>
    </row>
    <row r="15" spans="1:9">
      <c r="A15">
        <v>24.02</v>
      </c>
      <c r="B15">
        <v>68</v>
      </c>
    </row>
    <row r="16" spans="1:9">
      <c r="A16">
        <v>25.82</v>
      </c>
      <c r="B16">
        <v>62</v>
      </c>
    </row>
    <row r="17" spans="1:2">
      <c r="A17">
        <v>27.76</v>
      </c>
      <c r="B17">
        <v>63</v>
      </c>
    </row>
    <row r="18" spans="1:2">
      <c r="A18">
        <v>29.62</v>
      </c>
      <c r="B18">
        <v>63</v>
      </c>
    </row>
    <row r="19" spans="1:2">
      <c r="A19">
        <v>31.52</v>
      </c>
      <c r="B19">
        <v>69</v>
      </c>
    </row>
    <row r="20" spans="1:2">
      <c r="A20">
        <v>33.299999999999997</v>
      </c>
      <c r="B20">
        <v>62</v>
      </c>
    </row>
    <row r="21" spans="1:2">
      <c r="A21">
        <v>35.24</v>
      </c>
      <c r="B21">
        <v>66</v>
      </c>
    </row>
    <row r="22" spans="1:2">
      <c r="A22">
        <v>37</v>
      </c>
      <c r="B22">
        <v>65</v>
      </c>
    </row>
    <row r="23" spans="1:2">
      <c r="A23">
        <v>38.86</v>
      </c>
      <c r="B23">
        <v>68</v>
      </c>
    </row>
    <row r="24" spans="1:2">
      <c r="A24">
        <v>40.64</v>
      </c>
      <c r="B24">
        <v>62</v>
      </c>
    </row>
    <row r="25" spans="1:2">
      <c r="A25">
        <v>42.56</v>
      </c>
      <c r="B25">
        <v>62</v>
      </c>
    </row>
    <row r="26" spans="1:2">
      <c r="A26">
        <v>44.4</v>
      </c>
      <c r="B26">
        <v>62</v>
      </c>
    </row>
    <row r="27" spans="1:2">
      <c r="A27">
        <v>46.32</v>
      </c>
      <c r="B27">
        <v>68</v>
      </c>
    </row>
    <row r="28" spans="1:2">
      <c r="A28">
        <v>48.08</v>
      </c>
      <c r="B28">
        <v>65</v>
      </c>
    </row>
    <row r="29" spans="1:2">
      <c r="A29">
        <v>49.96</v>
      </c>
      <c r="B29">
        <v>61</v>
      </c>
    </row>
    <row r="30" spans="1:2">
      <c r="A30">
        <v>51.86</v>
      </c>
      <c r="B30">
        <v>65</v>
      </c>
    </row>
    <row r="31" spans="1:2">
      <c r="A31">
        <v>53.74</v>
      </c>
      <c r="B31">
        <v>62</v>
      </c>
    </row>
    <row r="32" spans="1:2">
      <c r="A32">
        <v>55.56</v>
      </c>
      <c r="B32">
        <v>66</v>
      </c>
    </row>
    <row r="33" spans="1:2">
      <c r="A33">
        <v>57.44</v>
      </c>
      <c r="B33">
        <v>61</v>
      </c>
    </row>
    <row r="34" spans="1:2">
      <c r="A34">
        <v>59.32</v>
      </c>
      <c r="B34">
        <v>69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b3_026_pulse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大菅　海兎</dc:creator>
  <cp:lastModifiedBy>大菅　海兎</cp:lastModifiedBy>
  <dcterms:created xsi:type="dcterms:W3CDTF">2025-11-02T07:48:23Z</dcterms:created>
  <dcterms:modified xsi:type="dcterms:W3CDTF">2025-11-02T07:48:23Z</dcterms:modified>
</cp:coreProperties>
</file>